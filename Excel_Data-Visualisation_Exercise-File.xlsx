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hidePivotFieldList="1" defaultThemeVersion="166925"/>
  <mc:AlternateContent xmlns:mc="http://schemas.openxmlformats.org/markup-compatibility/2006">
    <mc:Choice Requires="x15">
      <x15ac:absPath xmlns:x15ac="http://schemas.microsoft.com/office/spreadsheetml/2010/11/ac" url="\\staff.ad.griffith.edu.au\ud\fr\s2161346\Desktop\2025_Data-Visualisation-Basics_DCA\Exercise Files\"/>
    </mc:Choice>
  </mc:AlternateContent>
  <xr:revisionPtr revIDLastSave="0" documentId="13_ncr:1_{282F9763-D0F4-4AF0-A51C-CF81B8562A42}" xr6:coauthVersionLast="47" xr6:coauthVersionMax="47" xr10:uidLastSave="{00000000-0000-0000-0000-000000000000}"/>
  <bookViews>
    <workbookView xWindow="-28920" yWindow="-120" windowWidth="29040" windowHeight="15840" xr2:uid="{4AA7454B-E3C9-4C00-9285-8E6B0F88BDCE}"/>
  </bookViews>
  <sheets>
    <sheet name="2024-SBRs" sheetId="1" r:id="rId1"/>
    <sheet name="2023-SBRs" sheetId="2" r:id="rId2"/>
    <sheet name="TidyDataSample" sheetId="3" r:id="rId3"/>
    <sheet name="AnalyzeData"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I4" i="2"/>
  <c r="I5" i="2"/>
  <c r="I6" i="2"/>
  <c r="I7" i="2"/>
  <c r="I8" i="2"/>
  <c r="I9" i="2"/>
  <c r="I10" i="2"/>
  <c r="I2" i="2"/>
  <c r="I11" i="2" l="1"/>
  <c r="I3" i="1"/>
  <c r="I4" i="1"/>
  <c r="I5" i="1"/>
  <c r="I6" i="1"/>
  <c r="I7" i="1"/>
  <c r="I8" i="1"/>
  <c r="I9" i="1"/>
  <c r="I10" i="1"/>
  <c r="I2" i="1"/>
  <c r="I11" i="1" l="1"/>
</calcChain>
</file>

<file path=xl/sharedStrings.xml><?xml version="1.0" encoding="utf-8"?>
<sst xmlns="http://schemas.openxmlformats.org/spreadsheetml/2006/main" count="229" uniqueCount="22">
  <si>
    <t>Skill Group</t>
  </si>
  <si>
    <t>Trimester</t>
  </si>
  <si>
    <t>AEL</t>
  </si>
  <si>
    <t>Sciences</t>
  </si>
  <si>
    <t>Business</t>
  </si>
  <si>
    <t>Health</t>
  </si>
  <si>
    <t>Other L&amp;T*</t>
  </si>
  <si>
    <t>RED**</t>
  </si>
  <si>
    <t>Totals</t>
  </si>
  <si>
    <t>Academic Skills</t>
  </si>
  <si>
    <t>T1</t>
  </si>
  <si>
    <t>T2</t>
  </si>
  <si>
    <t>T3</t>
  </si>
  <si>
    <t>Library Skills</t>
  </si>
  <si>
    <t>Digital Skills</t>
  </si>
  <si>
    <t>GRAND TOTAL</t>
  </si>
  <si>
    <t>*GUMURRII, Earlybird, Griff Hons College</t>
  </si>
  <si>
    <t>**HDR/RESBAZ</t>
  </si>
  <si>
    <t>Student ID</t>
  </si>
  <si>
    <t>Year</t>
  </si>
  <si>
    <t>Mark</t>
  </si>
  <si>
    <t>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</si>
</sst>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7" tint="0.599963377788628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6">
    <xf numFmtId="0" fontId="0" fillId="0" borderId="0" xfId="0"/>
    <xf numFmtId="0" fontId="1" fillId="0" borderId="1" xfId="0" applyFont="1" applyBorder="1"/>
    <xf numFmtId="0" fontId="2" fillId="0" borderId="0" xfId="0" applyFont="1"/>
    <xf numFmtId="0" fontId="2" fillId="0" borderId="1" xfId="0" applyFont="1" applyBorder="1"/>
    <xf numFmtId="0" fontId="1" fillId="2" borderId="2" xfId="0" applyFont="1" applyFill="1" applyBorder="1"/>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3755-38B7-467D-AA6F-074596927696}">
  <dimension ref="A1:X16"/>
  <sheetViews>
    <sheetView tabSelected="1" zoomScale="90" zoomScaleNormal="90" workbookViewId="0"/>
  </sheetViews>
  <sheetFormatPr defaultColWidth="15.28515625" defaultRowHeight="15.6"/>
  <cols>
    <col min="1" max="1" width="18" style="2" customWidth="1"/>
    <col min="2" max="2" width="10.5703125" style="2" customWidth="1"/>
    <col min="3" max="9" width="12.5703125" style="2" customWidth="1"/>
    <col min="10" max="10" width="15.28515625" customWidth="1"/>
    <col min="11" max="11" width="13.28515625" bestFit="1" customWidth="1"/>
    <col min="12" max="12" width="4.7109375" bestFit="1" customWidth="1"/>
    <col min="13" max="13" width="9.140625" bestFit="1" customWidth="1"/>
    <col min="14" max="14" width="7.28515625" bestFit="1" customWidth="1"/>
    <col min="15" max="15" width="9" bestFit="1" customWidth="1"/>
    <col min="16" max="16" width="7.28515625" bestFit="1" customWidth="1"/>
    <col min="17" max="18" width="13.28515625" bestFit="1" customWidth="1"/>
    <col min="19" max="20" width="15.28515625" customWidth="1"/>
    <col min="25" max="16384" width="15.28515625" style="2"/>
  </cols>
  <sheetData>
    <row r="1" spans="1:9">
      <c r="A1" s="1" t="s">
        <v>0</v>
      </c>
      <c r="B1" s="1" t="s">
        <v>1</v>
      </c>
      <c r="C1" s="1" t="s">
        <v>2</v>
      </c>
      <c r="D1" s="1" t="s">
        <v>3</v>
      </c>
      <c r="E1" s="1" t="s">
        <v>4</v>
      </c>
      <c r="F1" s="1" t="s">
        <v>5</v>
      </c>
      <c r="G1" s="1" t="s">
        <v>6</v>
      </c>
      <c r="H1" s="1" t="s">
        <v>7</v>
      </c>
      <c r="I1" s="1" t="s">
        <v>8</v>
      </c>
    </row>
    <row r="2" spans="1:9">
      <c r="A2" s="3" t="s">
        <v>9</v>
      </c>
      <c r="B2" s="3" t="s">
        <v>10</v>
      </c>
      <c r="C2" s="3">
        <v>35</v>
      </c>
      <c r="D2" s="3">
        <v>7</v>
      </c>
      <c r="E2" s="3">
        <v>51</v>
      </c>
      <c r="F2" s="3">
        <v>106</v>
      </c>
      <c r="G2" s="3">
        <v>31</v>
      </c>
      <c r="H2" s="3">
        <v>7</v>
      </c>
      <c r="I2" s="3">
        <f>SUM(C2:H2)</f>
        <v>237</v>
      </c>
    </row>
    <row r="3" spans="1:9">
      <c r="A3" s="3" t="s">
        <v>9</v>
      </c>
      <c r="B3" s="3" t="s">
        <v>11</v>
      </c>
      <c r="C3" s="3">
        <v>31</v>
      </c>
      <c r="D3" s="3">
        <v>15</v>
      </c>
      <c r="E3" s="3">
        <v>49</v>
      </c>
      <c r="F3" s="3">
        <v>113</v>
      </c>
      <c r="G3" s="3">
        <v>7</v>
      </c>
      <c r="H3" s="3">
        <v>29</v>
      </c>
      <c r="I3" s="3">
        <f t="shared" ref="I3:I10" si="0">SUM(C3:H3)</f>
        <v>244</v>
      </c>
    </row>
    <row r="4" spans="1:9">
      <c r="A4" s="3" t="s">
        <v>9</v>
      </c>
      <c r="B4" s="3" t="s">
        <v>12</v>
      </c>
      <c r="C4" s="3">
        <v>0</v>
      </c>
      <c r="D4" s="3">
        <v>2</v>
      </c>
      <c r="E4" s="3">
        <v>1</v>
      </c>
      <c r="F4" s="3">
        <v>14</v>
      </c>
      <c r="G4" s="3">
        <v>8</v>
      </c>
      <c r="H4" s="3">
        <v>18</v>
      </c>
      <c r="I4" s="3">
        <f t="shared" si="0"/>
        <v>43</v>
      </c>
    </row>
    <row r="5" spans="1:9">
      <c r="A5" s="3" t="s">
        <v>13</v>
      </c>
      <c r="B5" s="3" t="s">
        <v>10</v>
      </c>
      <c r="C5" s="3">
        <v>79</v>
      </c>
      <c r="D5" s="3">
        <v>10</v>
      </c>
      <c r="E5" s="3">
        <v>26</v>
      </c>
      <c r="F5" s="3">
        <v>103</v>
      </c>
      <c r="G5" s="3">
        <v>23</v>
      </c>
      <c r="H5" s="3">
        <v>12</v>
      </c>
      <c r="I5" s="3">
        <f t="shared" si="0"/>
        <v>253</v>
      </c>
    </row>
    <row r="6" spans="1:9">
      <c r="A6" s="3" t="s">
        <v>13</v>
      </c>
      <c r="B6" s="3" t="s">
        <v>11</v>
      </c>
      <c r="C6" s="3">
        <v>32</v>
      </c>
      <c r="D6" s="3">
        <v>10</v>
      </c>
      <c r="E6" s="3">
        <v>21</v>
      </c>
      <c r="F6" s="3">
        <v>104</v>
      </c>
      <c r="G6" s="3">
        <v>9</v>
      </c>
      <c r="H6" s="3">
        <v>26</v>
      </c>
      <c r="I6" s="3">
        <f t="shared" si="0"/>
        <v>202</v>
      </c>
    </row>
    <row r="7" spans="1:9">
      <c r="A7" s="3" t="s">
        <v>13</v>
      </c>
      <c r="B7" s="3" t="s">
        <v>12</v>
      </c>
      <c r="C7" s="3">
        <v>3</v>
      </c>
      <c r="D7" s="3">
        <v>9</v>
      </c>
      <c r="E7" s="3">
        <v>7</v>
      </c>
      <c r="F7" s="3">
        <v>22</v>
      </c>
      <c r="G7" s="3">
        <v>7</v>
      </c>
      <c r="H7" s="3">
        <v>4</v>
      </c>
      <c r="I7" s="3">
        <f t="shared" si="0"/>
        <v>52</v>
      </c>
    </row>
    <row r="8" spans="1:9">
      <c r="A8" s="3" t="s">
        <v>14</v>
      </c>
      <c r="B8" s="3" t="s">
        <v>10</v>
      </c>
      <c r="C8" s="3">
        <v>1</v>
      </c>
      <c r="D8" s="3">
        <v>2</v>
      </c>
      <c r="E8" s="3">
        <v>4</v>
      </c>
      <c r="F8" s="3">
        <v>8</v>
      </c>
      <c r="G8" s="3">
        <v>13</v>
      </c>
      <c r="H8" s="3">
        <v>4</v>
      </c>
      <c r="I8" s="3">
        <f t="shared" si="0"/>
        <v>32</v>
      </c>
    </row>
    <row r="9" spans="1:9">
      <c r="A9" s="3" t="s">
        <v>14</v>
      </c>
      <c r="B9" s="3" t="s">
        <v>11</v>
      </c>
      <c r="C9" s="3">
        <v>5</v>
      </c>
      <c r="D9" s="3">
        <v>0</v>
      </c>
      <c r="E9" s="3">
        <v>0</v>
      </c>
      <c r="F9" s="3">
        <v>2</v>
      </c>
      <c r="G9" s="3">
        <v>7</v>
      </c>
      <c r="H9" s="3">
        <v>2</v>
      </c>
      <c r="I9" s="3">
        <f t="shared" si="0"/>
        <v>16</v>
      </c>
    </row>
    <row r="10" spans="1:9">
      <c r="A10" s="3" t="s">
        <v>14</v>
      </c>
      <c r="B10" s="3" t="s">
        <v>12</v>
      </c>
      <c r="C10" s="3">
        <v>0</v>
      </c>
      <c r="D10" s="3">
        <v>0</v>
      </c>
      <c r="E10" s="3">
        <v>0</v>
      </c>
      <c r="F10" s="3">
        <v>0</v>
      </c>
      <c r="G10" s="3">
        <v>2</v>
      </c>
      <c r="H10" s="3">
        <v>0</v>
      </c>
      <c r="I10" s="3">
        <f t="shared" si="0"/>
        <v>2</v>
      </c>
    </row>
    <row r="11" spans="1:9">
      <c r="G11" s="4" t="s">
        <v>15</v>
      </c>
      <c r="H11" s="4"/>
      <c r="I11" s="4">
        <f>SUM(I2:I10)</f>
        <v>1081</v>
      </c>
    </row>
    <row r="13" spans="1:9">
      <c r="A13" s="5" t="s">
        <v>16</v>
      </c>
    </row>
    <row r="14" spans="1:9">
      <c r="A14" s="5" t="s">
        <v>17</v>
      </c>
    </row>
    <row r="15" spans="1:9">
      <c r="A15"/>
      <c r="B15"/>
      <c r="C15"/>
      <c r="D15"/>
      <c r="E15"/>
      <c r="F15"/>
      <c r="G15"/>
      <c r="H15"/>
      <c r="I15"/>
    </row>
    <row r="16" spans="1:9">
      <c r="A16"/>
      <c r="B16"/>
      <c r="C16"/>
      <c r="D16"/>
      <c r="E16"/>
      <c r="F16"/>
      <c r="G16"/>
      <c r="H16"/>
      <c r="I16"/>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4D80E-C90C-440B-BD1E-6C135E95432E}">
  <dimension ref="A1:Z16"/>
  <sheetViews>
    <sheetView zoomScale="90" zoomScaleNormal="90" workbookViewId="0"/>
  </sheetViews>
  <sheetFormatPr defaultColWidth="15.28515625" defaultRowHeight="15.6"/>
  <cols>
    <col min="1" max="1" width="18" style="2" customWidth="1"/>
    <col min="2" max="2" width="10.5703125" style="2" customWidth="1"/>
    <col min="3" max="9" width="12.5703125" style="2" customWidth="1"/>
    <col min="10" max="10" width="15.28515625" customWidth="1"/>
    <col min="11" max="11" width="13.28515625" bestFit="1" customWidth="1"/>
    <col min="12" max="12" width="10.7109375" bestFit="1" customWidth="1"/>
    <col min="13" max="13" width="15.28515625" bestFit="1" customWidth="1"/>
    <col min="14" max="14" width="15.42578125" bestFit="1" customWidth="1"/>
    <col min="15" max="15" width="13.5703125" bestFit="1" customWidth="1"/>
    <col min="16" max="18" width="12.85546875" bestFit="1" customWidth="1"/>
    <col min="19" max="20" width="15.28515625" customWidth="1"/>
    <col min="27" max="16384" width="15.28515625" style="2"/>
  </cols>
  <sheetData>
    <row r="1" spans="1:9">
      <c r="A1" s="1" t="s">
        <v>0</v>
      </c>
      <c r="B1" s="1" t="s">
        <v>1</v>
      </c>
      <c r="C1" s="1" t="s">
        <v>2</v>
      </c>
      <c r="D1" s="1" t="s">
        <v>3</v>
      </c>
      <c r="E1" s="1" t="s">
        <v>4</v>
      </c>
      <c r="F1" s="1" t="s">
        <v>5</v>
      </c>
      <c r="G1" s="1" t="s">
        <v>6</v>
      </c>
      <c r="H1" s="1" t="s">
        <v>7</v>
      </c>
      <c r="I1" s="1" t="s">
        <v>8</v>
      </c>
    </row>
    <row r="2" spans="1:9">
      <c r="A2" s="3" t="s">
        <v>9</v>
      </c>
      <c r="B2" s="3" t="s">
        <v>10</v>
      </c>
      <c r="C2" s="3">
        <v>94</v>
      </c>
      <c r="D2" s="3">
        <v>99</v>
      </c>
      <c r="E2" s="3">
        <v>120</v>
      </c>
      <c r="F2" s="3">
        <v>120</v>
      </c>
      <c r="G2" s="3">
        <v>85</v>
      </c>
      <c r="H2" s="3">
        <v>75</v>
      </c>
      <c r="I2" s="3">
        <f>SUM(C2:H2)</f>
        <v>593</v>
      </c>
    </row>
    <row r="3" spans="1:9">
      <c r="A3" s="3" t="s">
        <v>9</v>
      </c>
      <c r="B3" s="3" t="s">
        <v>11</v>
      </c>
      <c r="C3" s="3">
        <v>20</v>
      </c>
      <c r="D3" s="3">
        <v>8</v>
      </c>
      <c r="E3" s="3">
        <v>4</v>
      </c>
      <c r="F3" s="3">
        <v>120</v>
      </c>
      <c r="G3" s="3">
        <v>20</v>
      </c>
      <c r="H3" s="3">
        <v>98</v>
      </c>
      <c r="I3" s="3">
        <f t="shared" ref="I3:I10" si="0">SUM(C3:H3)</f>
        <v>270</v>
      </c>
    </row>
    <row r="4" spans="1:9">
      <c r="A4" s="3" t="s">
        <v>9</v>
      </c>
      <c r="B4" s="3" t="s">
        <v>12</v>
      </c>
      <c r="C4" s="3">
        <v>105</v>
      </c>
      <c r="D4" s="3">
        <v>85</v>
      </c>
      <c r="E4" s="3">
        <v>6</v>
      </c>
      <c r="F4" s="3">
        <v>16</v>
      </c>
      <c r="G4" s="3">
        <v>114</v>
      </c>
      <c r="H4" s="3">
        <v>52</v>
      </c>
      <c r="I4" s="3">
        <f t="shared" si="0"/>
        <v>378</v>
      </c>
    </row>
    <row r="5" spans="1:9">
      <c r="A5" s="3" t="s">
        <v>13</v>
      </c>
      <c r="B5" s="3" t="s">
        <v>10</v>
      </c>
      <c r="C5" s="3">
        <v>73</v>
      </c>
      <c r="D5" s="3">
        <v>9</v>
      </c>
      <c r="E5" s="3">
        <v>15</v>
      </c>
      <c r="F5" s="3">
        <v>50</v>
      </c>
      <c r="G5" s="3">
        <v>39</v>
      </c>
      <c r="H5" s="3">
        <v>111</v>
      </c>
      <c r="I5" s="3">
        <f t="shared" si="0"/>
        <v>297</v>
      </c>
    </row>
    <row r="6" spans="1:9">
      <c r="A6" s="3" t="s">
        <v>13</v>
      </c>
      <c r="B6" s="3" t="s">
        <v>11</v>
      </c>
      <c r="C6" s="3">
        <v>19</v>
      </c>
      <c r="D6" s="3">
        <v>114</v>
      </c>
      <c r="E6" s="3">
        <v>53</v>
      </c>
      <c r="F6" s="3">
        <v>6</v>
      </c>
      <c r="G6" s="3">
        <v>101</v>
      </c>
      <c r="H6" s="3">
        <v>78</v>
      </c>
      <c r="I6" s="3">
        <f t="shared" si="0"/>
        <v>371</v>
      </c>
    </row>
    <row r="7" spans="1:9">
      <c r="A7" s="3" t="s">
        <v>13</v>
      </c>
      <c r="B7" s="3" t="s">
        <v>12</v>
      </c>
      <c r="C7" s="3">
        <v>57</v>
      </c>
      <c r="D7" s="3">
        <v>107</v>
      </c>
      <c r="E7" s="3">
        <v>110</v>
      </c>
      <c r="F7" s="3">
        <v>88</v>
      </c>
      <c r="G7" s="3">
        <v>70</v>
      </c>
      <c r="H7" s="3">
        <v>20</v>
      </c>
      <c r="I7" s="3">
        <f t="shared" si="0"/>
        <v>452</v>
      </c>
    </row>
    <row r="8" spans="1:9">
      <c r="A8" s="3" t="s">
        <v>14</v>
      </c>
      <c r="B8" s="3" t="s">
        <v>10</v>
      </c>
      <c r="C8" s="3">
        <v>63</v>
      </c>
      <c r="D8" s="3">
        <v>51</v>
      </c>
      <c r="E8" s="3">
        <v>6</v>
      </c>
      <c r="F8" s="3">
        <v>97</v>
      </c>
      <c r="G8" s="3">
        <v>5</v>
      </c>
      <c r="H8" s="3">
        <v>59</v>
      </c>
      <c r="I8" s="3">
        <f t="shared" si="0"/>
        <v>281</v>
      </c>
    </row>
    <row r="9" spans="1:9">
      <c r="A9" s="3" t="s">
        <v>14</v>
      </c>
      <c r="B9" s="3" t="s">
        <v>11</v>
      </c>
      <c r="C9" s="3">
        <v>103</v>
      </c>
      <c r="D9" s="3">
        <v>60</v>
      </c>
      <c r="E9" s="3">
        <v>58</v>
      </c>
      <c r="F9" s="3">
        <v>64</v>
      </c>
      <c r="G9" s="3">
        <v>64</v>
      </c>
      <c r="H9" s="3">
        <v>37</v>
      </c>
      <c r="I9" s="3">
        <f t="shared" si="0"/>
        <v>386</v>
      </c>
    </row>
    <row r="10" spans="1:9">
      <c r="A10" s="3" t="s">
        <v>14</v>
      </c>
      <c r="B10" s="3" t="s">
        <v>12</v>
      </c>
      <c r="C10" s="3">
        <v>17</v>
      </c>
      <c r="D10" s="3">
        <v>21</v>
      </c>
      <c r="E10" s="3">
        <v>50</v>
      </c>
      <c r="F10" s="3">
        <v>34</v>
      </c>
      <c r="G10" s="3">
        <v>4</v>
      </c>
      <c r="H10" s="3">
        <v>116</v>
      </c>
      <c r="I10" s="3">
        <f t="shared" si="0"/>
        <v>242</v>
      </c>
    </row>
    <row r="11" spans="1:9">
      <c r="G11" s="4" t="s">
        <v>15</v>
      </c>
      <c r="H11" s="4"/>
      <c r="I11" s="4">
        <f>SUM(I2:I10)</f>
        <v>3270</v>
      </c>
    </row>
    <row r="13" spans="1:9">
      <c r="A13" s="5" t="s">
        <v>16</v>
      </c>
    </row>
    <row r="14" spans="1:9">
      <c r="A14" s="5" t="s">
        <v>17</v>
      </c>
    </row>
    <row r="15" spans="1:9" ht="18.75" customHeight="1">
      <c r="A15"/>
      <c r="B15"/>
      <c r="C15"/>
      <c r="D15"/>
      <c r="E15"/>
      <c r="F15"/>
      <c r="G15"/>
      <c r="H15"/>
      <c r="I15"/>
    </row>
    <row r="16" spans="1:9">
      <c r="A16"/>
      <c r="B16"/>
      <c r="C16"/>
      <c r="D16"/>
      <c r="E16"/>
      <c r="F16"/>
      <c r="G16"/>
      <c r="H16"/>
      <c r="I16"/>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C6753-EBEB-4E01-B608-6A949924569F}">
  <dimension ref="A1:R73"/>
  <sheetViews>
    <sheetView zoomScaleNormal="100" workbookViewId="0"/>
  </sheetViews>
  <sheetFormatPr defaultRowHeight="14.45"/>
  <cols>
    <col min="2" max="2" width="10" bestFit="1" customWidth="1"/>
    <col min="14" max="14" width="15.42578125" customWidth="1"/>
    <col min="16" max="16" width="10.5703125" customWidth="1"/>
  </cols>
  <sheetData>
    <row r="1" spans="1:18">
      <c r="C1">
        <v>2022</v>
      </c>
      <c r="F1">
        <v>2023</v>
      </c>
      <c r="I1">
        <v>2024</v>
      </c>
      <c r="N1" t="s">
        <v>18</v>
      </c>
      <c r="O1" t="s">
        <v>19</v>
      </c>
      <c r="P1" t="s">
        <v>1</v>
      </c>
      <c r="Q1" t="s">
        <v>20</v>
      </c>
      <c r="R1" t="s">
        <v>21</v>
      </c>
    </row>
    <row r="2" spans="1:18">
      <c r="A2" t="s">
        <v>21</v>
      </c>
      <c r="B2" t="s">
        <v>18</v>
      </c>
      <c r="C2" t="s">
        <v>10</v>
      </c>
      <c r="D2" t="s">
        <v>11</v>
      </c>
      <c r="E2" t="s">
        <v>12</v>
      </c>
      <c r="F2" t="s">
        <v>10</v>
      </c>
      <c r="G2" t="s">
        <v>11</v>
      </c>
      <c r="H2" t="s">
        <v>12</v>
      </c>
      <c r="I2" t="s">
        <v>10</v>
      </c>
      <c r="J2" t="s">
        <v>11</v>
      </c>
      <c r="K2" t="s">
        <v>12</v>
      </c>
      <c r="N2">
        <v>315446</v>
      </c>
      <c r="O2">
        <v>2022</v>
      </c>
      <c r="P2">
        <v>1</v>
      </c>
      <c r="Q2">
        <v>35</v>
      </c>
      <c r="R2" t="s">
        <v>2</v>
      </c>
    </row>
    <row r="3" spans="1:18">
      <c r="A3" t="s">
        <v>2</v>
      </c>
      <c r="B3">
        <v>315446</v>
      </c>
      <c r="C3">
        <v>35</v>
      </c>
      <c r="D3">
        <v>58</v>
      </c>
      <c r="E3">
        <v>70</v>
      </c>
      <c r="F3">
        <v>97</v>
      </c>
      <c r="G3">
        <v>98</v>
      </c>
      <c r="H3">
        <v>82</v>
      </c>
      <c r="I3">
        <v>56</v>
      </c>
      <c r="J3">
        <v>88</v>
      </c>
      <c r="K3">
        <v>97</v>
      </c>
      <c r="N3">
        <v>315446</v>
      </c>
      <c r="O3">
        <v>2022</v>
      </c>
      <c r="P3">
        <v>2</v>
      </c>
      <c r="Q3">
        <v>58</v>
      </c>
      <c r="R3" t="s">
        <v>2</v>
      </c>
    </row>
    <row r="4" spans="1:18">
      <c r="B4">
        <v>574769</v>
      </c>
      <c r="C4">
        <v>81</v>
      </c>
      <c r="D4">
        <v>76</v>
      </c>
      <c r="E4">
        <v>84</v>
      </c>
      <c r="F4">
        <v>21</v>
      </c>
      <c r="G4">
        <v>95</v>
      </c>
      <c r="H4">
        <v>56</v>
      </c>
      <c r="I4">
        <v>21</v>
      </c>
      <c r="J4">
        <v>45</v>
      </c>
      <c r="K4">
        <v>69</v>
      </c>
      <c r="N4">
        <v>315446</v>
      </c>
      <c r="O4">
        <v>2022</v>
      </c>
      <c r="P4">
        <v>3</v>
      </c>
      <c r="Q4">
        <v>70</v>
      </c>
      <c r="R4" t="s">
        <v>2</v>
      </c>
    </row>
    <row r="5" spans="1:18">
      <c r="A5" t="s">
        <v>4</v>
      </c>
      <c r="B5">
        <v>226589</v>
      </c>
      <c r="C5">
        <v>48</v>
      </c>
      <c r="D5">
        <v>57</v>
      </c>
      <c r="E5">
        <v>88</v>
      </c>
      <c r="F5">
        <v>46</v>
      </c>
      <c r="G5">
        <v>22</v>
      </c>
      <c r="H5">
        <v>83</v>
      </c>
      <c r="I5">
        <v>79</v>
      </c>
      <c r="J5">
        <v>78</v>
      </c>
      <c r="K5">
        <v>22</v>
      </c>
      <c r="N5">
        <v>315446</v>
      </c>
      <c r="O5">
        <v>2023</v>
      </c>
      <c r="P5">
        <v>1</v>
      </c>
      <c r="Q5">
        <v>97</v>
      </c>
      <c r="R5" t="s">
        <v>2</v>
      </c>
    </row>
    <row r="6" spans="1:18">
      <c r="B6">
        <v>361548</v>
      </c>
      <c r="C6">
        <v>38</v>
      </c>
      <c r="D6">
        <v>66</v>
      </c>
      <c r="E6">
        <v>82</v>
      </c>
      <c r="F6">
        <v>73</v>
      </c>
      <c r="G6">
        <v>49</v>
      </c>
      <c r="H6">
        <v>47</v>
      </c>
      <c r="I6">
        <v>63</v>
      </c>
      <c r="J6">
        <v>64</v>
      </c>
      <c r="K6">
        <v>29</v>
      </c>
      <c r="N6">
        <v>315446</v>
      </c>
      <c r="O6">
        <v>2023</v>
      </c>
      <c r="P6">
        <v>2</v>
      </c>
      <c r="Q6">
        <v>98</v>
      </c>
      <c r="R6" t="s">
        <v>2</v>
      </c>
    </row>
    <row r="7" spans="1:18">
      <c r="A7" t="s">
        <v>5</v>
      </c>
      <c r="B7">
        <v>439451</v>
      </c>
      <c r="C7">
        <v>64</v>
      </c>
      <c r="D7">
        <v>33</v>
      </c>
      <c r="E7">
        <v>88</v>
      </c>
      <c r="F7">
        <v>44</v>
      </c>
      <c r="G7">
        <v>41</v>
      </c>
      <c r="H7">
        <v>88</v>
      </c>
      <c r="I7">
        <v>40</v>
      </c>
      <c r="J7">
        <v>51</v>
      </c>
      <c r="K7">
        <v>51</v>
      </c>
      <c r="N7">
        <v>315446</v>
      </c>
      <c r="O7">
        <v>2023</v>
      </c>
      <c r="P7">
        <v>3</v>
      </c>
      <c r="Q7">
        <v>82</v>
      </c>
      <c r="R7" t="s">
        <v>2</v>
      </c>
    </row>
    <row r="8" spans="1:18">
      <c r="B8">
        <v>630797</v>
      </c>
      <c r="C8">
        <v>87</v>
      </c>
      <c r="D8">
        <v>69</v>
      </c>
      <c r="E8">
        <v>66</v>
      </c>
      <c r="F8">
        <v>74</v>
      </c>
      <c r="G8">
        <v>31</v>
      </c>
      <c r="H8">
        <v>45</v>
      </c>
      <c r="I8">
        <v>49</v>
      </c>
      <c r="J8">
        <v>60</v>
      </c>
      <c r="K8">
        <v>26</v>
      </c>
      <c r="N8">
        <v>315446</v>
      </c>
      <c r="O8">
        <v>2024</v>
      </c>
      <c r="P8">
        <v>1</v>
      </c>
      <c r="Q8">
        <v>56</v>
      </c>
      <c r="R8" t="s">
        <v>2</v>
      </c>
    </row>
    <row r="9" spans="1:18">
      <c r="A9" t="s">
        <v>3</v>
      </c>
      <c r="B9">
        <v>662369</v>
      </c>
      <c r="C9">
        <v>91</v>
      </c>
      <c r="D9">
        <v>72</v>
      </c>
      <c r="E9">
        <v>100</v>
      </c>
      <c r="F9">
        <v>30</v>
      </c>
      <c r="G9">
        <v>49</v>
      </c>
      <c r="H9">
        <v>92</v>
      </c>
      <c r="I9">
        <v>58</v>
      </c>
      <c r="J9">
        <v>26</v>
      </c>
      <c r="K9">
        <v>72</v>
      </c>
      <c r="N9">
        <v>315446</v>
      </c>
      <c r="O9">
        <v>2024</v>
      </c>
      <c r="P9">
        <v>2</v>
      </c>
      <c r="Q9">
        <v>88</v>
      </c>
      <c r="R9" t="s">
        <v>2</v>
      </c>
    </row>
    <row r="10" spans="1:18">
      <c r="B10">
        <v>211640</v>
      </c>
      <c r="C10">
        <v>71</v>
      </c>
      <c r="D10">
        <v>96</v>
      </c>
      <c r="E10">
        <v>41</v>
      </c>
      <c r="F10">
        <v>60</v>
      </c>
      <c r="G10">
        <v>29</v>
      </c>
      <c r="H10">
        <v>62</v>
      </c>
      <c r="I10">
        <v>86</v>
      </c>
      <c r="J10">
        <v>67</v>
      </c>
      <c r="K10">
        <v>100</v>
      </c>
      <c r="N10">
        <v>315446</v>
      </c>
      <c r="O10">
        <v>2024</v>
      </c>
      <c r="P10">
        <v>3</v>
      </c>
      <c r="Q10">
        <v>97</v>
      </c>
      <c r="R10" t="s">
        <v>2</v>
      </c>
    </row>
    <row r="11" spans="1:18">
      <c r="N11">
        <v>574769</v>
      </c>
      <c r="O11">
        <v>2022</v>
      </c>
      <c r="P11">
        <v>1</v>
      </c>
      <c r="Q11">
        <v>81</v>
      </c>
      <c r="R11" t="s">
        <v>2</v>
      </c>
    </row>
    <row r="12" spans="1:18">
      <c r="N12">
        <v>574769</v>
      </c>
      <c r="O12">
        <v>2022</v>
      </c>
      <c r="P12">
        <v>2</v>
      </c>
      <c r="Q12">
        <v>76</v>
      </c>
      <c r="R12" t="s">
        <v>2</v>
      </c>
    </row>
    <row r="13" spans="1:18">
      <c r="N13">
        <v>574769</v>
      </c>
      <c r="O13">
        <v>2022</v>
      </c>
      <c r="P13">
        <v>3</v>
      </c>
      <c r="Q13">
        <v>84</v>
      </c>
      <c r="R13" t="s">
        <v>2</v>
      </c>
    </row>
    <row r="14" spans="1:18">
      <c r="N14">
        <v>574769</v>
      </c>
      <c r="O14">
        <v>2023</v>
      </c>
      <c r="P14">
        <v>1</v>
      </c>
      <c r="Q14">
        <v>21</v>
      </c>
      <c r="R14" t="s">
        <v>2</v>
      </c>
    </row>
    <row r="15" spans="1:18">
      <c r="N15">
        <v>574769</v>
      </c>
      <c r="O15">
        <v>2023</v>
      </c>
      <c r="P15">
        <v>2</v>
      </c>
      <c r="Q15">
        <v>95</v>
      </c>
      <c r="R15" t="s">
        <v>2</v>
      </c>
    </row>
    <row r="16" spans="1:18">
      <c r="N16">
        <v>574769</v>
      </c>
      <c r="O16">
        <v>2023</v>
      </c>
      <c r="P16">
        <v>3</v>
      </c>
      <c r="Q16">
        <v>56</v>
      </c>
      <c r="R16" t="s">
        <v>2</v>
      </c>
    </row>
    <row r="17" spans="14:18">
      <c r="N17">
        <v>574769</v>
      </c>
      <c r="O17">
        <v>2024</v>
      </c>
      <c r="P17">
        <v>1</v>
      </c>
      <c r="Q17">
        <v>21</v>
      </c>
      <c r="R17" t="s">
        <v>2</v>
      </c>
    </row>
    <row r="18" spans="14:18">
      <c r="N18">
        <v>574769</v>
      </c>
      <c r="O18">
        <v>2024</v>
      </c>
      <c r="P18">
        <v>2</v>
      </c>
      <c r="Q18">
        <v>45</v>
      </c>
      <c r="R18" t="s">
        <v>2</v>
      </c>
    </row>
    <row r="19" spans="14:18">
      <c r="N19">
        <v>574769</v>
      </c>
      <c r="O19">
        <v>2024</v>
      </c>
      <c r="P19">
        <v>3</v>
      </c>
      <c r="Q19">
        <v>69</v>
      </c>
      <c r="R19" t="s">
        <v>2</v>
      </c>
    </row>
    <row r="20" spans="14:18">
      <c r="N20">
        <v>226589</v>
      </c>
      <c r="O20">
        <v>2022</v>
      </c>
      <c r="P20">
        <v>1</v>
      </c>
      <c r="Q20">
        <v>48</v>
      </c>
      <c r="R20" t="s">
        <v>4</v>
      </c>
    </row>
    <row r="21" spans="14:18">
      <c r="N21">
        <v>226589</v>
      </c>
      <c r="O21">
        <v>2022</v>
      </c>
      <c r="P21">
        <v>2</v>
      </c>
      <c r="Q21">
        <v>57</v>
      </c>
      <c r="R21" t="s">
        <v>4</v>
      </c>
    </row>
    <row r="22" spans="14:18">
      <c r="N22">
        <v>226589</v>
      </c>
      <c r="O22">
        <v>2022</v>
      </c>
      <c r="P22">
        <v>3</v>
      </c>
      <c r="Q22">
        <v>88</v>
      </c>
      <c r="R22" t="s">
        <v>4</v>
      </c>
    </row>
    <row r="23" spans="14:18">
      <c r="N23">
        <v>226589</v>
      </c>
      <c r="O23">
        <v>2023</v>
      </c>
      <c r="P23">
        <v>1</v>
      </c>
      <c r="Q23">
        <v>46</v>
      </c>
      <c r="R23" t="s">
        <v>4</v>
      </c>
    </row>
    <row r="24" spans="14:18">
      <c r="N24">
        <v>226589</v>
      </c>
      <c r="O24">
        <v>2023</v>
      </c>
      <c r="P24">
        <v>2</v>
      </c>
      <c r="Q24">
        <v>22</v>
      </c>
      <c r="R24" t="s">
        <v>4</v>
      </c>
    </row>
    <row r="25" spans="14:18">
      <c r="N25">
        <v>226589</v>
      </c>
      <c r="O25">
        <v>2023</v>
      </c>
      <c r="P25">
        <v>3</v>
      </c>
      <c r="Q25">
        <v>83</v>
      </c>
      <c r="R25" t="s">
        <v>4</v>
      </c>
    </row>
    <row r="26" spans="14:18">
      <c r="N26">
        <v>226589</v>
      </c>
      <c r="O26">
        <v>2024</v>
      </c>
      <c r="P26">
        <v>1</v>
      </c>
      <c r="Q26">
        <v>79</v>
      </c>
      <c r="R26" t="s">
        <v>4</v>
      </c>
    </row>
    <row r="27" spans="14:18">
      <c r="N27">
        <v>226589</v>
      </c>
      <c r="O27">
        <v>2024</v>
      </c>
      <c r="P27">
        <v>2</v>
      </c>
      <c r="Q27">
        <v>78</v>
      </c>
      <c r="R27" t="s">
        <v>4</v>
      </c>
    </row>
    <row r="28" spans="14:18">
      <c r="N28">
        <v>226589</v>
      </c>
      <c r="O28">
        <v>2024</v>
      </c>
      <c r="P28">
        <v>3</v>
      </c>
      <c r="Q28">
        <v>22</v>
      </c>
      <c r="R28" t="s">
        <v>4</v>
      </c>
    </row>
    <row r="29" spans="14:18">
      <c r="N29">
        <v>361548</v>
      </c>
      <c r="O29">
        <v>2022</v>
      </c>
      <c r="P29">
        <v>1</v>
      </c>
      <c r="Q29">
        <v>38</v>
      </c>
      <c r="R29" t="s">
        <v>4</v>
      </c>
    </row>
    <row r="30" spans="14:18">
      <c r="N30">
        <v>361548</v>
      </c>
      <c r="O30">
        <v>2022</v>
      </c>
      <c r="P30">
        <v>2</v>
      </c>
      <c r="Q30">
        <v>66</v>
      </c>
      <c r="R30" t="s">
        <v>4</v>
      </c>
    </row>
    <row r="31" spans="14:18">
      <c r="N31">
        <v>361548</v>
      </c>
      <c r="O31">
        <v>2022</v>
      </c>
      <c r="P31">
        <v>3</v>
      </c>
      <c r="Q31">
        <v>82</v>
      </c>
      <c r="R31" t="s">
        <v>4</v>
      </c>
    </row>
    <row r="32" spans="14:18">
      <c r="N32">
        <v>361548</v>
      </c>
      <c r="O32">
        <v>2023</v>
      </c>
      <c r="P32">
        <v>1</v>
      </c>
      <c r="Q32">
        <v>73</v>
      </c>
      <c r="R32" t="s">
        <v>4</v>
      </c>
    </row>
    <row r="33" spans="14:18">
      <c r="N33">
        <v>361548</v>
      </c>
      <c r="O33">
        <v>2023</v>
      </c>
      <c r="P33">
        <v>2</v>
      </c>
      <c r="Q33">
        <v>49</v>
      </c>
      <c r="R33" t="s">
        <v>4</v>
      </c>
    </row>
    <row r="34" spans="14:18">
      <c r="N34">
        <v>361548</v>
      </c>
      <c r="O34">
        <v>2023</v>
      </c>
      <c r="P34">
        <v>3</v>
      </c>
      <c r="Q34">
        <v>47</v>
      </c>
      <c r="R34" t="s">
        <v>4</v>
      </c>
    </row>
    <row r="35" spans="14:18">
      <c r="N35">
        <v>361548</v>
      </c>
      <c r="O35">
        <v>2024</v>
      </c>
      <c r="P35">
        <v>1</v>
      </c>
      <c r="Q35">
        <v>63</v>
      </c>
      <c r="R35" t="s">
        <v>4</v>
      </c>
    </row>
    <row r="36" spans="14:18">
      <c r="N36">
        <v>361548</v>
      </c>
      <c r="O36">
        <v>2024</v>
      </c>
      <c r="P36">
        <v>2</v>
      </c>
      <c r="Q36">
        <v>64</v>
      </c>
      <c r="R36" t="s">
        <v>4</v>
      </c>
    </row>
    <row r="37" spans="14:18">
      <c r="N37">
        <v>361548</v>
      </c>
      <c r="O37">
        <v>2024</v>
      </c>
      <c r="P37">
        <v>3</v>
      </c>
      <c r="Q37">
        <v>29</v>
      </c>
      <c r="R37" t="s">
        <v>4</v>
      </c>
    </row>
    <row r="38" spans="14:18">
      <c r="N38">
        <v>439451</v>
      </c>
      <c r="O38">
        <v>2022</v>
      </c>
      <c r="P38">
        <v>1</v>
      </c>
      <c r="Q38">
        <v>87</v>
      </c>
      <c r="R38" t="s">
        <v>5</v>
      </c>
    </row>
    <row r="39" spans="14:18">
      <c r="N39">
        <v>439451</v>
      </c>
      <c r="O39">
        <v>2022</v>
      </c>
      <c r="P39">
        <v>2</v>
      </c>
      <c r="Q39">
        <v>69</v>
      </c>
      <c r="R39" t="s">
        <v>5</v>
      </c>
    </row>
    <row r="40" spans="14:18">
      <c r="N40">
        <v>439451</v>
      </c>
      <c r="O40">
        <v>2022</v>
      </c>
      <c r="P40">
        <v>3</v>
      </c>
      <c r="Q40">
        <v>66</v>
      </c>
      <c r="R40" t="s">
        <v>5</v>
      </c>
    </row>
    <row r="41" spans="14:18">
      <c r="N41">
        <v>439451</v>
      </c>
      <c r="O41">
        <v>2023</v>
      </c>
      <c r="P41">
        <v>1</v>
      </c>
      <c r="Q41">
        <v>74</v>
      </c>
      <c r="R41" t="s">
        <v>5</v>
      </c>
    </row>
    <row r="42" spans="14:18">
      <c r="N42">
        <v>439451</v>
      </c>
      <c r="O42">
        <v>2023</v>
      </c>
      <c r="P42">
        <v>2</v>
      </c>
      <c r="Q42">
        <v>31</v>
      </c>
      <c r="R42" t="s">
        <v>5</v>
      </c>
    </row>
    <row r="43" spans="14:18">
      <c r="N43">
        <v>439451</v>
      </c>
      <c r="O43">
        <v>2023</v>
      </c>
      <c r="P43">
        <v>3</v>
      </c>
      <c r="Q43">
        <v>45</v>
      </c>
      <c r="R43" t="s">
        <v>5</v>
      </c>
    </row>
    <row r="44" spans="14:18">
      <c r="N44">
        <v>439451</v>
      </c>
      <c r="O44">
        <v>2024</v>
      </c>
      <c r="P44">
        <v>1</v>
      </c>
      <c r="Q44">
        <v>49</v>
      </c>
      <c r="R44" t="s">
        <v>5</v>
      </c>
    </row>
    <row r="45" spans="14:18">
      <c r="N45">
        <v>439451</v>
      </c>
      <c r="O45">
        <v>2024</v>
      </c>
      <c r="P45">
        <v>2</v>
      </c>
      <c r="Q45">
        <v>60</v>
      </c>
      <c r="R45" t="s">
        <v>5</v>
      </c>
    </row>
    <row r="46" spans="14:18">
      <c r="N46">
        <v>439451</v>
      </c>
      <c r="O46">
        <v>2024</v>
      </c>
      <c r="P46">
        <v>3</v>
      </c>
      <c r="Q46">
        <v>26</v>
      </c>
      <c r="R46" t="s">
        <v>5</v>
      </c>
    </row>
    <row r="47" spans="14:18">
      <c r="N47">
        <v>630797</v>
      </c>
      <c r="O47">
        <v>2022</v>
      </c>
      <c r="P47">
        <v>1</v>
      </c>
      <c r="Q47">
        <v>87</v>
      </c>
      <c r="R47" t="s">
        <v>5</v>
      </c>
    </row>
    <row r="48" spans="14:18">
      <c r="N48">
        <v>630797</v>
      </c>
      <c r="O48">
        <v>2022</v>
      </c>
      <c r="P48">
        <v>2</v>
      </c>
      <c r="Q48">
        <v>69</v>
      </c>
      <c r="R48" t="s">
        <v>5</v>
      </c>
    </row>
    <row r="49" spans="14:18">
      <c r="N49">
        <v>630797</v>
      </c>
      <c r="O49">
        <v>2022</v>
      </c>
      <c r="P49">
        <v>3</v>
      </c>
      <c r="Q49">
        <v>66</v>
      </c>
      <c r="R49" t="s">
        <v>5</v>
      </c>
    </row>
    <row r="50" spans="14:18">
      <c r="N50">
        <v>630797</v>
      </c>
      <c r="O50">
        <v>2023</v>
      </c>
      <c r="P50">
        <v>1</v>
      </c>
      <c r="Q50">
        <v>74</v>
      </c>
      <c r="R50" t="s">
        <v>5</v>
      </c>
    </row>
    <row r="51" spans="14:18">
      <c r="N51">
        <v>630797</v>
      </c>
      <c r="O51">
        <v>2023</v>
      </c>
      <c r="P51">
        <v>2</v>
      </c>
      <c r="Q51">
        <v>31</v>
      </c>
      <c r="R51" t="s">
        <v>5</v>
      </c>
    </row>
    <row r="52" spans="14:18">
      <c r="N52">
        <v>630797</v>
      </c>
      <c r="O52">
        <v>2023</v>
      </c>
      <c r="P52">
        <v>3</v>
      </c>
      <c r="Q52">
        <v>45</v>
      </c>
      <c r="R52" t="s">
        <v>5</v>
      </c>
    </row>
    <row r="53" spans="14:18">
      <c r="N53">
        <v>630797</v>
      </c>
      <c r="O53">
        <v>2024</v>
      </c>
      <c r="P53">
        <v>1</v>
      </c>
      <c r="Q53">
        <v>49</v>
      </c>
      <c r="R53" t="s">
        <v>5</v>
      </c>
    </row>
    <row r="54" spans="14:18">
      <c r="N54">
        <v>630797</v>
      </c>
      <c r="O54">
        <v>2024</v>
      </c>
      <c r="P54">
        <v>2</v>
      </c>
      <c r="Q54">
        <v>60</v>
      </c>
      <c r="R54" t="s">
        <v>5</v>
      </c>
    </row>
    <row r="55" spans="14:18">
      <c r="N55">
        <v>630797</v>
      </c>
      <c r="O55">
        <v>2024</v>
      </c>
      <c r="P55">
        <v>3</v>
      </c>
      <c r="Q55">
        <v>26</v>
      </c>
      <c r="R55" t="s">
        <v>5</v>
      </c>
    </row>
    <row r="56" spans="14:18">
      <c r="N56">
        <v>662369</v>
      </c>
      <c r="O56">
        <v>2022</v>
      </c>
      <c r="P56">
        <v>1</v>
      </c>
      <c r="Q56">
        <v>91</v>
      </c>
      <c r="R56" t="s">
        <v>3</v>
      </c>
    </row>
    <row r="57" spans="14:18">
      <c r="N57">
        <v>662369</v>
      </c>
      <c r="O57">
        <v>2022</v>
      </c>
      <c r="P57">
        <v>2</v>
      </c>
      <c r="Q57">
        <v>72</v>
      </c>
      <c r="R57" t="s">
        <v>3</v>
      </c>
    </row>
    <row r="58" spans="14:18">
      <c r="N58">
        <v>662369</v>
      </c>
      <c r="O58">
        <v>2022</v>
      </c>
      <c r="P58">
        <v>3</v>
      </c>
      <c r="Q58">
        <v>100</v>
      </c>
      <c r="R58" t="s">
        <v>3</v>
      </c>
    </row>
    <row r="59" spans="14:18">
      <c r="N59">
        <v>662369</v>
      </c>
      <c r="O59">
        <v>2023</v>
      </c>
      <c r="P59">
        <v>1</v>
      </c>
      <c r="Q59">
        <v>30</v>
      </c>
      <c r="R59" t="s">
        <v>3</v>
      </c>
    </row>
    <row r="60" spans="14:18">
      <c r="N60">
        <v>662369</v>
      </c>
      <c r="O60">
        <v>2023</v>
      </c>
      <c r="P60">
        <v>2</v>
      </c>
      <c r="Q60">
        <v>49</v>
      </c>
      <c r="R60" t="s">
        <v>3</v>
      </c>
    </row>
    <row r="61" spans="14:18">
      <c r="N61">
        <v>662369</v>
      </c>
      <c r="O61">
        <v>2023</v>
      </c>
      <c r="P61">
        <v>3</v>
      </c>
      <c r="Q61">
        <v>92</v>
      </c>
      <c r="R61" t="s">
        <v>3</v>
      </c>
    </row>
    <row r="62" spans="14:18">
      <c r="N62">
        <v>662369</v>
      </c>
      <c r="O62">
        <v>2024</v>
      </c>
      <c r="P62">
        <v>1</v>
      </c>
      <c r="Q62">
        <v>58</v>
      </c>
      <c r="R62" t="s">
        <v>3</v>
      </c>
    </row>
    <row r="63" spans="14:18">
      <c r="N63">
        <v>662369</v>
      </c>
      <c r="O63">
        <v>2024</v>
      </c>
      <c r="P63">
        <v>2</v>
      </c>
      <c r="Q63">
        <v>26</v>
      </c>
      <c r="R63" t="s">
        <v>3</v>
      </c>
    </row>
    <row r="64" spans="14:18">
      <c r="N64">
        <v>662369</v>
      </c>
      <c r="O64">
        <v>2024</v>
      </c>
      <c r="P64">
        <v>3</v>
      </c>
      <c r="Q64">
        <v>72</v>
      </c>
      <c r="R64" t="s">
        <v>3</v>
      </c>
    </row>
    <row r="65" spans="14:18">
      <c r="N65">
        <v>211640</v>
      </c>
      <c r="O65">
        <v>2022</v>
      </c>
      <c r="P65">
        <v>1</v>
      </c>
      <c r="Q65">
        <v>71</v>
      </c>
      <c r="R65" t="s">
        <v>3</v>
      </c>
    </row>
    <row r="66" spans="14:18">
      <c r="N66">
        <v>211640</v>
      </c>
      <c r="O66">
        <v>2022</v>
      </c>
      <c r="P66">
        <v>2</v>
      </c>
      <c r="Q66">
        <v>96</v>
      </c>
      <c r="R66" t="s">
        <v>3</v>
      </c>
    </row>
    <row r="67" spans="14:18">
      <c r="N67">
        <v>211640</v>
      </c>
      <c r="O67">
        <v>2022</v>
      </c>
      <c r="P67">
        <v>3</v>
      </c>
      <c r="Q67">
        <v>41</v>
      </c>
      <c r="R67" t="s">
        <v>3</v>
      </c>
    </row>
    <row r="68" spans="14:18">
      <c r="N68">
        <v>211640</v>
      </c>
      <c r="O68">
        <v>2023</v>
      </c>
      <c r="P68">
        <v>1</v>
      </c>
      <c r="Q68">
        <v>60</v>
      </c>
      <c r="R68" t="s">
        <v>3</v>
      </c>
    </row>
    <row r="69" spans="14:18">
      <c r="N69">
        <v>211640</v>
      </c>
      <c r="O69">
        <v>2023</v>
      </c>
      <c r="P69">
        <v>2</v>
      </c>
      <c r="Q69">
        <v>29</v>
      </c>
      <c r="R69" t="s">
        <v>3</v>
      </c>
    </row>
    <row r="70" spans="14:18">
      <c r="N70">
        <v>211640</v>
      </c>
      <c r="O70">
        <v>2023</v>
      </c>
      <c r="P70">
        <v>3</v>
      </c>
      <c r="Q70">
        <v>62</v>
      </c>
      <c r="R70" t="s">
        <v>3</v>
      </c>
    </row>
    <row r="71" spans="14:18">
      <c r="N71">
        <v>211640</v>
      </c>
      <c r="O71">
        <v>2024</v>
      </c>
      <c r="P71">
        <v>1</v>
      </c>
      <c r="Q71">
        <v>86</v>
      </c>
      <c r="R71" t="s">
        <v>3</v>
      </c>
    </row>
    <row r="72" spans="14:18">
      <c r="N72">
        <v>211640</v>
      </c>
      <c r="O72">
        <v>2024</v>
      </c>
      <c r="P72">
        <v>2</v>
      </c>
      <c r="Q72">
        <v>67</v>
      </c>
      <c r="R72" t="s">
        <v>3</v>
      </c>
    </row>
    <row r="73" spans="14:18">
      <c r="N73">
        <v>211640</v>
      </c>
      <c r="O73">
        <v>2024</v>
      </c>
      <c r="P73">
        <v>3</v>
      </c>
      <c r="Q73">
        <v>100</v>
      </c>
      <c r="R73" t="s">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292B0-A151-4BC1-B9CD-A8787D1F6B52}">
  <dimension ref="A1:E73"/>
  <sheetViews>
    <sheetView zoomScaleNormal="100" workbookViewId="0"/>
  </sheetViews>
  <sheetFormatPr defaultRowHeight="14.45"/>
  <cols>
    <col min="1" max="1" width="15.42578125" customWidth="1"/>
    <col min="3" max="3" width="10.5703125" customWidth="1"/>
  </cols>
  <sheetData>
    <row r="1" spans="1:5">
      <c r="A1" t="s">
        <v>18</v>
      </c>
      <c r="B1" t="s">
        <v>19</v>
      </c>
      <c r="C1" t="s">
        <v>1</v>
      </c>
      <c r="D1" t="s">
        <v>20</v>
      </c>
      <c r="E1" t="s">
        <v>21</v>
      </c>
    </row>
    <row r="2" spans="1:5">
      <c r="A2">
        <v>315446</v>
      </c>
      <c r="B2">
        <v>2022</v>
      </c>
      <c r="C2">
        <v>1</v>
      </c>
      <c r="D2">
        <v>35</v>
      </c>
      <c r="E2" t="s">
        <v>2</v>
      </c>
    </row>
    <row r="3" spans="1:5">
      <c r="A3">
        <v>315446</v>
      </c>
      <c r="B3">
        <v>2022</v>
      </c>
      <c r="C3">
        <v>2</v>
      </c>
      <c r="D3">
        <v>58</v>
      </c>
      <c r="E3" t="s">
        <v>2</v>
      </c>
    </row>
    <row r="4" spans="1:5">
      <c r="A4">
        <v>315446</v>
      </c>
      <c r="B4">
        <v>2022</v>
      </c>
      <c r="C4">
        <v>3</v>
      </c>
      <c r="D4">
        <v>70</v>
      </c>
      <c r="E4" t="s">
        <v>2</v>
      </c>
    </row>
    <row r="5" spans="1:5">
      <c r="A5">
        <v>315446</v>
      </c>
      <c r="B5">
        <v>2023</v>
      </c>
      <c r="C5">
        <v>1</v>
      </c>
      <c r="D5">
        <v>97</v>
      </c>
      <c r="E5" t="s">
        <v>2</v>
      </c>
    </row>
    <row r="6" spans="1:5">
      <c r="A6">
        <v>315446</v>
      </c>
      <c r="B6">
        <v>2023</v>
      </c>
      <c r="C6">
        <v>2</v>
      </c>
      <c r="D6">
        <v>98</v>
      </c>
      <c r="E6" t="s">
        <v>2</v>
      </c>
    </row>
    <row r="7" spans="1:5">
      <c r="A7">
        <v>315446</v>
      </c>
      <c r="B7">
        <v>2023</v>
      </c>
      <c r="C7">
        <v>3</v>
      </c>
      <c r="D7">
        <v>82</v>
      </c>
      <c r="E7" t="s">
        <v>2</v>
      </c>
    </row>
    <row r="8" spans="1:5">
      <c r="A8">
        <v>315446</v>
      </c>
      <c r="B8">
        <v>2024</v>
      </c>
      <c r="C8">
        <v>1</v>
      </c>
      <c r="D8">
        <v>56</v>
      </c>
      <c r="E8" t="s">
        <v>2</v>
      </c>
    </row>
    <row r="9" spans="1:5">
      <c r="A9">
        <v>315446</v>
      </c>
      <c r="B9">
        <v>2024</v>
      </c>
      <c r="C9">
        <v>2</v>
      </c>
      <c r="D9">
        <v>88</v>
      </c>
      <c r="E9" t="s">
        <v>2</v>
      </c>
    </row>
    <row r="10" spans="1:5">
      <c r="A10">
        <v>315446</v>
      </c>
      <c r="B10">
        <v>2024</v>
      </c>
      <c r="C10">
        <v>3</v>
      </c>
      <c r="D10">
        <v>97</v>
      </c>
      <c r="E10" t="s">
        <v>2</v>
      </c>
    </row>
    <row r="11" spans="1:5">
      <c r="A11">
        <v>574769</v>
      </c>
      <c r="B11">
        <v>2022</v>
      </c>
      <c r="C11">
        <v>1</v>
      </c>
      <c r="D11">
        <v>81</v>
      </c>
      <c r="E11" t="s">
        <v>2</v>
      </c>
    </row>
    <row r="12" spans="1:5">
      <c r="A12">
        <v>574769</v>
      </c>
      <c r="B12">
        <v>2022</v>
      </c>
      <c r="C12">
        <v>2</v>
      </c>
      <c r="D12">
        <v>76</v>
      </c>
      <c r="E12" t="s">
        <v>2</v>
      </c>
    </row>
    <row r="13" spans="1:5">
      <c r="A13">
        <v>574769</v>
      </c>
      <c r="B13">
        <v>2022</v>
      </c>
      <c r="C13">
        <v>3</v>
      </c>
      <c r="D13">
        <v>84</v>
      </c>
      <c r="E13" t="s">
        <v>2</v>
      </c>
    </row>
    <row r="14" spans="1:5">
      <c r="A14">
        <v>574769</v>
      </c>
      <c r="B14">
        <v>2023</v>
      </c>
      <c r="C14">
        <v>1</v>
      </c>
      <c r="D14">
        <v>21</v>
      </c>
      <c r="E14" t="s">
        <v>2</v>
      </c>
    </row>
    <row r="15" spans="1:5">
      <c r="A15">
        <v>574769</v>
      </c>
      <c r="B15">
        <v>2023</v>
      </c>
      <c r="C15">
        <v>2</v>
      </c>
      <c r="D15">
        <v>95</v>
      </c>
      <c r="E15" t="s">
        <v>2</v>
      </c>
    </row>
    <row r="16" spans="1:5">
      <c r="A16">
        <v>574769</v>
      </c>
      <c r="B16">
        <v>2023</v>
      </c>
      <c r="C16">
        <v>3</v>
      </c>
      <c r="D16">
        <v>56</v>
      </c>
      <c r="E16" t="s">
        <v>2</v>
      </c>
    </row>
    <row r="17" spans="1:5">
      <c r="A17">
        <v>574769</v>
      </c>
      <c r="B17">
        <v>2024</v>
      </c>
      <c r="C17">
        <v>1</v>
      </c>
      <c r="D17">
        <v>21</v>
      </c>
      <c r="E17" t="s">
        <v>2</v>
      </c>
    </row>
    <row r="18" spans="1:5">
      <c r="A18">
        <v>574769</v>
      </c>
      <c r="B18">
        <v>2024</v>
      </c>
      <c r="C18">
        <v>2</v>
      </c>
      <c r="D18">
        <v>45</v>
      </c>
      <c r="E18" t="s">
        <v>2</v>
      </c>
    </row>
    <row r="19" spans="1:5">
      <c r="A19">
        <v>574769</v>
      </c>
      <c r="B19">
        <v>2024</v>
      </c>
      <c r="C19">
        <v>3</v>
      </c>
      <c r="D19">
        <v>69</v>
      </c>
      <c r="E19" t="s">
        <v>2</v>
      </c>
    </row>
    <row r="20" spans="1:5">
      <c r="A20">
        <v>226589</v>
      </c>
      <c r="B20">
        <v>2022</v>
      </c>
      <c r="C20">
        <v>1</v>
      </c>
      <c r="D20">
        <v>48</v>
      </c>
      <c r="E20" t="s">
        <v>4</v>
      </c>
    </row>
    <row r="21" spans="1:5">
      <c r="A21">
        <v>226589</v>
      </c>
      <c r="B21">
        <v>2022</v>
      </c>
      <c r="C21">
        <v>2</v>
      </c>
      <c r="D21">
        <v>57</v>
      </c>
      <c r="E21" t="s">
        <v>4</v>
      </c>
    </row>
    <row r="22" spans="1:5">
      <c r="A22">
        <v>226589</v>
      </c>
      <c r="B22">
        <v>2022</v>
      </c>
      <c r="C22">
        <v>3</v>
      </c>
      <c r="D22">
        <v>88</v>
      </c>
      <c r="E22" t="s">
        <v>4</v>
      </c>
    </row>
    <row r="23" spans="1:5">
      <c r="A23">
        <v>226589</v>
      </c>
      <c r="B23">
        <v>2023</v>
      </c>
      <c r="C23">
        <v>1</v>
      </c>
      <c r="D23">
        <v>46</v>
      </c>
      <c r="E23" t="s">
        <v>4</v>
      </c>
    </row>
    <row r="24" spans="1:5">
      <c r="A24">
        <v>226589</v>
      </c>
      <c r="B24">
        <v>2023</v>
      </c>
      <c r="C24">
        <v>2</v>
      </c>
      <c r="D24">
        <v>22</v>
      </c>
      <c r="E24" t="s">
        <v>4</v>
      </c>
    </row>
    <row r="25" spans="1:5">
      <c r="A25">
        <v>226589</v>
      </c>
      <c r="B25">
        <v>2023</v>
      </c>
      <c r="C25">
        <v>3</v>
      </c>
      <c r="D25">
        <v>83</v>
      </c>
      <c r="E25" t="s">
        <v>4</v>
      </c>
    </row>
    <row r="26" spans="1:5">
      <c r="A26">
        <v>226589</v>
      </c>
      <c r="B26">
        <v>2024</v>
      </c>
      <c r="C26">
        <v>1</v>
      </c>
      <c r="D26">
        <v>79</v>
      </c>
      <c r="E26" t="s">
        <v>4</v>
      </c>
    </row>
    <row r="27" spans="1:5">
      <c r="A27">
        <v>226589</v>
      </c>
      <c r="B27">
        <v>2024</v>
      </c>
      <c r="C27">
        <v>2</v>
      </c>
      <c r="D27">
        <v>78</v>
      </c>
      <c r="E27" t="s">
        <v>4</v>
      </c>
    </row>
    <row r="28" spans="1:5">
      <c r="A28">
        <v>226589</v>
      </c>
      <c r="B28">
        <v>2024</v>
      </c>
      <c r="C28">
        <v>3</v>
      </c>
      <c r="D28">
        <v>22</v>
      </c>
      <c r="E28" t="s">
        <v>4</v>
      </c>
    </row>
    <row r="29" spans="1:5">
      <c r="A29">
        <v>361548</v>
      </c>
      <c r="B29">
        <v>2022</v>
      </c>
      <c r="C29">
        <v>1</v>
      </c>
      <c r="D29">
        <v>38</v>
      </c>
      <c r="E29" t="s">
        <v>4</v>
      </c>
    </row>
    <row r="30" spans="1:5">
      <c r="A30">
        <v>361548</v>
      </c>
      <c r="B30">
        <v>2022</v>
      </c>
      <c r="C30">
        <v>2</v>
      </c>
      <c r="D30">
        <v>66</v>
      </c>
      <c r="E30" t="s">
        <v>4</v>
      </c>
    </row>
    <row r="31" spans="1:5">
      <c r="A31">
        <v>361548</v>
      </c>
      <c r="B31">
        <v>2022</v>
      </c>
      <c r="C31">
        <v>3</v>
      </c>
      <c r="D31">
        <v>82</v>
      </c>
      <c r="E31" t="s">
        <v>4</v>
      </c>
    </row>
    <row r="32" spans="1:5">
      <c r="A32">
        <v>361548</v>
      </c>
      <c r="B32">
        <v>2023</v>
      </c>
      <c r="C32">
        <v>1</v>
      </c>
      <c r="D32">
        <v>73</v>
      </c>
      <c r="E32" t="s">
        <v>4</v>
      </c>
    </row>
    <row r="33" spans="1:5">
      <c r="A33">
        <v>361548</v>
      </c>
      <c r="B33">
        <v>2023</v>
      </c>
      <c r="C33">
        <v>2</v>
      </c>
      <c r="D33">
        <v>49</v>
      </c>
      <c r="E33" t="s">
        <v>4</v>
      </c>
    </row>
    <row r="34" spans="1:5">
      <c r="A34">
        <v>361548</v>
      </c>
      <c r="B34">
        <v>2023</v>
      </c>
      <c r="C34">
        <v>3</v>
      </c>
      <c r="D34">
        <v>47</v>
      </c>
      <c r="E34" t="s">
        <v>4</v>
      </c>
    </row>
    <row r="35" spans="1:5">
      <c r="A35">
        <v>361548</v>
      </c>
      <c r="B35">
        <v>2024</v>
      </c>
      <c r="C35">
        <v>1</v>
      </c>
      <c r="D35">
        <v>63</v>
      </c>
      <c r="E35" t="s">
        <v>4</v>
      </c>
    </row>
    <row r="36" spans="1:5">
      <c r="A36">
        <v>361548</v>
      </c>
      <c r="B36">
        <v>2024</v>
      </c>
      <c r="C36">
        <v>2</v>
      </c>
      <c r="D36">
        <v>64</v>
      </c>
      <c r="E36" t="s">
        <v>4</v>
      </c>
    </row>
    <row r="37" spans="1:5">
      <c r="A37">
        <v>361548</v>
      </c>
      <c r="B37">
        <v>2024</v>
      </c>
      <c r="C37">
        <v>3</v>
      </c>
      <c r="D37">
        <v>29</v>
      </c>
      <c r="E37" t="s">
        <v>4</v>
      </c>
    </row>
    <row r="38" spans="1:5">
      <c r="A38">
        <v>439451</v>
      </c>
      <c r="B38">
        <v>2022</v>
      </c>
      <c r="C38">
        <v>1</v>
      </c>
      <c r="D38">
        <v>87</v>
      </c>
      <c r="E38" t="s">
        <v>5</v>
      </c>
    </row>
    <row r="39" spans="1:5">
      <c r="A39">
        <v>439451</v>
      </c>
      <c r="B39">
        <v>2022</v>
      </c>
      <c r="C39">
        <v>2</v>
      </c>
      <c r="D39">
        <v>69</v>
      </c>
      <c r="E39" t="s">
        <v>5</v>
      </c>
    </row>
    <row r="40" spans="1:5">
      <c r="A40">
        <v>439451</v>
      </c>
      <c r="B40">
        <v>2022</v>
      </c>
      <c r="C40">
        <v>3</v>
      </c>
      <c r="D40">
        <v>66</v>
      </c>
      <c r="E40" t="s">
        <v>5</v>
      </c>
    </row>
    <row r="41" spans="1:5">
      <c r="A41">
        <v>439451</v>
      </c>
      <c r="B41">
        <v>2023</v>
      </c>
      <c r="C41">
        <v>1</v>
      </c>
      <c r="D41">
        <v>74</v>
      </c>
      <c r="E41" t="s">
        <v>5</v>
      </c>
    </row>
    <row r="42" spans="1:5">
      <c r="A42">
        <v>439451</v>
      </c>
      <c r="B42">
        <v>2023</v>
      </c>
      <c r="C42">
        <v>2</v>
      </c>
      <c r="D42">
        <v>31</v>
      </c>
      <c r="E42" t="s">
        <v>5</v>
      </c>
    </row>
    <row r="43" spans="1:5">
      <c r="A43">
        <v>439451</v>
      </c>
      <c r="B43">
        <v>2023</v>
      </c>
      <c r="C43">
        <v>3</v>
      </c>
      <c r="D43">
        <v>45</v>
      </c>
      <c r="E43" t="s">
        <v>5</v>
      </c>
    </row>
    <row r="44" spans="1:5">
      <c r="A44">
        <v>439451</v>
      </c>
      <c r="B44">
        <v>2024</v>
      </c>
      <c r="C44">
        <v>1</v>
      </c>
      <c r="D44">
        <v>49</v>
      </c>
      <c r="E44" t="s">
        <v>5</v>
      </c>
    </row>
    <row r="45" spans="1:5">
      <c r="A45">
        <v>439451</v>
      </c>
      <c r="B45">
        <v>2024</v>
      </c>
      <c r="C45">
        <v>2</v>
      </c>
      <c r="D45">
        <v>60</v>
      </c>
      <c r="E45" t="s">
        <v>5</v>
      </c>
    </row>
    <row r="46" spans="1:5">
      <c r="A46">
        <v>439451</v>
      </c>
      <c r="B46">
        <v>2024</v>
      </c>
      <c r="C46">
        <v>3</v>
      </c>
      <c r="D46">
        <v>26</v>
      </c>
      <c r="E46" t="s">
        <v>5</v>
      </c>
    </row>
    <row r="47" spans="1:5">
      <c r="A47">
        <v>630797</v>
      </c>
      <c r="B47">
        <v>2022</v>
      </c>
      <c r="C47">
        <v>1</v>
      </c>
      <c r="D47">
        <v>87</v>
      </c>
      <c r="E47" t="s">
        <v>5</v>
      </c>
    </row>
    <row r="48" spans="1:5">
      <c r="A48">
        <v>630797</v>
      </c>
      <c r="B48">
        <v>2022</v>
      </c>
      <c r="C48">
        <v>2</v>
      </c>
      <c r="D48">
        <v>69</v>
      </c>
      <c r="E48" t="s">
        <v>5</v>
      </c>
    </row>
    <row r="49" spans="1:5">
      <c r="A49">
        <v>630797</v>
      </c>
      <c r="B49">
        <v>2022</v>
      </c>
      <c r="C49">
        <v>3</v>
      </c>
      <c r="D49">
        <v>66</v>
      </c>
      <c r="E49" t="s">
        <v>5</v>
      </c>
    </row>
    <row r="50" spans="1:5">
      <c r="A50">
        <v>630797</v>
      </c>
      <c r="B50">
        <v>2023</v>
      </c>
      <c r="C50">
        <v>1</v>
      </c>
      <c r="D50">
        <v>74</v>
      </c>
      <c r="E50" t="s">
        <v>5</v>
      </c>
    </row>
    <row r="51" spans="1:5">
      <c r="A51">
        <v>630797</v>
      </c>
      <c r="B51">
        <v>2023</v>
      </c>
      <c r="C51">
        <v>2</v>
      </c>
      <c r="D51">
        <v>31</v>
      </c>
      <c r="E51" t="s">
        <v>5</v>
      </c>
    </row>
    <row r="52" spans="1:5">
      <c r="A52">
        <v>630797</v>
      </c>
      <c r="B52">
        <v>2023</v>
      </c>
      <c r="C52">
        <v>3</v>
      </c>
      <c r="D52">
        <v>45</v>
      </c>
      <c r="E52" t="s">
        <v>5</v>
      </c>
    </row>
    <row r="53" spans="1:5">
      <c r="A53">
        <v>630797</v>
      </c>
      <c r="B53">
        <v>2024</v>
      </c>
      <c r="C53">
        <v>1</v>
      </c>
      <c r="D53">
        <v>49</v>
      </c>
      <c r="E53" t="s">
        <v>5</v>
      </c>
    </row>
    <row r="54" spans="1:5">
      <c r="A54">
        <v>630797</v>
      </c>
      <c r="B54">
        <v>2024</v>
      </c>
      <c r="C54">
        <v>2</v>
      </c>
      <c r="D54">
        <v>60</v>
      </c>
      <c r="E54" t="s">
        <v>5</v>
      </c>
    </row>
    <row r="55" spans="1:5">
      <c r="A55">
        <v>630797</v>
      </c>
      <c r="B55">
        <v>2024</v>
      </c>
      <c r="C55">
        <v>3</v>
      </c>
      <c r="D55">
        <v>26</v>
      </c>
      <c r="E55" t="s">
        <v>5</v>
      </c>
    </row>
    <row r="56" spans="1:5">
      <c r="A56">
        <v>662369</v>
      </c>
      <c r="B56">
        <v>2022</v>
      </c>
      <c r="C56">
        <v>1</v>
      </c>
      <c r="D56">
        <v>91</v>
      </c>
      <c r="E56" t="s">
        <v>3</v>
      </c>
    </row>
    <row r="57" spans="1:5">
      <c r="A57">
        <v>662369</v>
      </c>
      <c r="B57">
        <v>2022</v>
      </c>
      <c r="C57">
        <v>2</v>
      </c>
      <c r="D57">
        <v>72</v>
      </c>
      <c r="E57" t="s">
        <v>3</v>
      </c>
    </row>
    <row r="58" spans="1:5">
      <c r="A58">
        <v>662369</v>
      </c>
      <c r="B58">
        <v>2022</v>
      </c>
      <c r="C58">
        <v>3</v>
      </c>
      <c r="D58">
        <v>100</v>
      </c>
      <c r="E58" t="s">
        <v>3</v>
      </c>
    </row>
    <row r="59" spans="1:5">
      <c r="A59">
        <v>662369</v>
      </c>
      <c r="B59">
        <v>2023</v>
      </c>
      <c r="C59">
        <v>1</v>
      </c>
      <c r="D59">
        <v>30</v>
      </c>
      <c r="E59" t="s">
        <v>3</v>
      </c>
    </row>
    <row r="60" spans="1:5">
      <c r="A60">
        <v>662369</v>
      </c>
      <c r="B60">
        <v>2023</v>
      </c>
      <c r="C60">
        <v>2</v>
      </c>
      <c r="D60">
        <v>49</v>
      </c>
      <c r="E60" t="s">
        <v>3</v>
      </c>
    </row>
    <row r="61" spans="1:5">
      <c r="A61">
        <v>662369</v>
      </c>
      <c r="B61">
        <v>2023</v>
      </c>
      <c r="C61">
        <v>3</v>
      </c>
      <c r="D61">
        <v>92</v>
      </c>
      <c r="E61" t="s">
        <v>3</v>
      </c>
    </row>
    <row r="62" spans="1:5">
      <c r="A62">
        <v>662369</v>
      </c>
      <c r="B62">
        <v>2024</v>
      </c>
      <c r="C62">
        <v>1</v>
      </c>
      <c r="D62">
        <v>58</v>
      </c>
      <c r="E62" t="s">
        <v>3</v>
      </c>
    </row>
    <row r="63" spans="1:5">
      <c r="A63">
        <v>662369</v>
      </c>
      <c r="B63">
        <v>2024</v>
      </c>
      <c r="C63">
        <v>2</v>
      </c>
      <c r="D63">
        <v>26</v>
      </c>
      <c r="E63" t="s">
        <v>3</v>
      </c>
    </row>
    <row r="64" spans="1:5">
      <c r="A64">
        <v>662369</v>
      </c>
      <c r="B64">
        <v>2024</v>
      </c>
      <c r="C64">
        <v>3</v>
      </c>
      <c r="D64">
        <v>72</v>
      </c>
      <c r="E64" t="s">
        <v>3</v>
      </c>
    </row>
    <row r="65" spans="1:5">
      <c r="A65">
        <v>211640</v>
      </c>
      <c r="B65">
        <v>2022</v>
      </c>
      <c r="C65">
        <v>1</v>
      </c>
      <c r="D65">
        <v>71</v>
      </c>
      <c r="E65" t="s">
        <v>3</v>
      </c>
    </row>
    <row r="66" spans="1:5">
      <c r="A66">
        <v>211640</v>
      </c>
      <c r="B66">
        <v>2022</v>
      </c>
      <c r="C66">
        <v>2</v>
      </c>
      <c r="D66">
        <v>96</v>
      </c>
      <c r="E66" t="s">
        <v>3</v>
      </c>
    </row>
    <row r="67" spans="1:5">
      <c r="A67">
        <v>211640</v>
      </c>
      <c r="B67">
        <v>2022</v>
      </c>
      <c r="C67">
        <v>3</v>
      </c>
      <c r="D67">
        <v>41</v>
      </c>
      <c r="E67" t="s">
        <v>3</v>
      </c>
    </row>
    <row r="68" spans="1:5">
      <c r="A68">
        <v>211640</v>
      </c>
      <c r="B68">
        <v>2023</v>
      </c>
      <c r="C68">
        <v>1</v>
      </c>
      <c r="D68">
        <v>60</v>
      </c>
      <c r="E68" t="s">
        <v>3</v>
      </c>
    </row>
    <row r="69" spans="1:5">
      <c r="A69">
        <v>211640</v>
      </c>
      <c r="B69">
        <v>2023</v>
      </c>
      <c r="C69">
        <v>2</v>
      </c>
      <c r="D69">
        <v>29</v>
      </c>
      <c r="E69" t="s">
        <v>3</v>
      </c>
    </row>
    <row r="70" spans="1:5">
      <c r="A70">
        <v>211640</v>
      </c>
      <c r="B70">
        <v>2023</v>
      </c>
      <c r="C70">
        <v>3</v>
      </c>
      <c r="D70">
        <v>62</v>
      </c>
      <c r="E70" t="s">
        <v>3</v>
      </c>
    </row>
    <row r="71" spans="1:5">
      <c r="A71">
        <v>211640</v>
      </c>
      <c r="B71">
        <v>2024</v>
      </c>
      <c r="C71">
        <v>1</v>
      </c>
      <c r="D71">
        <v>86</v>
      </c>
      <c r="E71" t="s">
        <v>3</v>
      </c>
    </row>
    <row r="72" spans="1:5">
      <c r="A72">
        <v>211640</v>
      </c>
      <c r="B72">
        <v>2024</v>
      </c>
      <c r="C72">
        <v>2</v>
      </c>
      <c r="D72">
        <v>67</v>
      </c>
      <c r="E72" t="s">
        <v>3</v>
      </c>
    </row>
    <row r="73" spans="1:5">
      <c r="A73">
        <v>211640</v>
      </c>
      <c r="B73">
        <v>2024</v>
      </c>
      <c r="C73">
        <v>3</v>
      </c>
      <c r="D73">
        <v>100</v>
      </c>
      <c r="E73" t="s">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0e899353-192f-49ec-8040-6535f759edff">
      <UserInfo>
        <DisplayName>Julie Somers</DisplayName>
        <AccountId>30</AccountId>
        <AccountType/>
      </UserInfo>
    </SharedWithUsers>
    <ClientGroup xmlns="0e899353-192f-49ec-8040-6535f759edff" xsi:nil="true"/>
    <File_x0020_Usage xmlns="b143bb85-e379-46c3-af48-7b67d8fa8318" xsi:nil="true"/>
    <ContributionBy xmlns="0e899353-192f-49ec-8040-6535f759edff">
      <UserInfo>
        <DisplayName/>
        <AccountId xsi:nil="true"/>
        <AccountType/>
      </UserInfo>
    </ContributionBy>
    <Description1 xmlns="0e899353-192f-49ec-8040-6535f759edff" xsi:nil="true"/>
    <Topic xmlns="0e899353-192f-49ec-8040-6535f759edff">Data wrangling</Topic>
    <Discipline xmlns="0e899353-192f-49ec-8040-6535f759edff">Research</Discipline>
    <LIVE_x0020_Link xmlns="b143bb85-e379-46c3-af48-7b67d8fa8318">
      <Url xsi:nil="true"/>
      <Description xsi:nil="true"/>
    </LIVE_x0020_Link>
    <Rights xmlns="0e899353-192f-49ec-8040-6535f759edff" xsi:nil="true"/>
    <ContentType1 xmlns="0e899353-192f-49ec-8040-6535f759edff" xsi:nil="true"/>
    <TaxCatchAll xmlns="0e899353-192f-49ec-8040-6535f759edff" xsi:nil="true"/>
    <lcf76f155ced4ddcb4097134ff3c332f xmlns="b143bb85-e379-46c3-af48-7b67d8fa8318">
      <Terms xmlns="http://schemas.microsoft.com/office/infopath/2007/PartnerControls"/>
    </lcf76f155ced4ddcb4097134ff3c332f>
    <Path xmlns="b143bb85-e379-46c3-af48-7b67d8fa8318" xsi:nil="true"/>
    <_ip_UnifiedCompliancePolicyUIAction xmlns="http://schemas.microsoft.com/sharepoint/v3" xsi:nil="true"/>
    <Retention_x0020_Review xmlns="b143bb85-e379-46c3-af48-7b67d8fa8318" xsi:nil="true"/>
    <_ip_UnifiedCompliancePolicyProperties xmlns="http://schemas.microsoft.com/sharepoint/v3"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9BCF26CD0D80EF448B3138B1C9A75290" ma:contentTypeVersion="44" ma:contentTypeDescription="Create a new document." ma:contentTypeScope="" ma:versionID="b6740685a5e19aa58535c9d885014487">
  <xsd:schema xmlns:xsd="http://www.w3.org/2001/XMLSchema" xmlns:xs="http://www.w3.org/2001/XMLSchema" xmlns:p="http://schemas.microsoft.com/office/2006/metadata/properties" xmlns:ns1="http://schemas.microsoft.com/sharepoint/v3" xmlns:ns2="0e899353-192f-49ec-8040-6535f759edff" xmlns:ns3="b143bb85-e379-46c3-af48-7b67d8fa8318" targetNamespace="http://schemas.microsoft.com/office/2006/metadata/properties" ma:root="true" ma:fieldsID="44846996bcf29ca7043ec43ed790d84a" ns1:_="" ns2:_="" ns3:_="">
    <xsd:import namespace="http://schemas.microsoft.com/sharepoint/v3"/>
    <xsd:import namespace="0e899353-192f-49ec-8040-6535f759edff"/>
    <xsd:import namespace="b143bb85-e379-46c3-af48-7b67d8fa8318"/>
    <xsd:element name="properties">
      <xsd:complexType>
        <xsd:sequence>
          <xsd:element name="documentManagement">
            <xsd:complexType>
              <xsd:all>
                <xsd:element ref="ns2:Description1" minOccurs="0"/>
                <xsd:element ref="ns2:Topic" minOccurs="0"/>
                <xsd:element ref="ns2:ContentType1" minOccurs="0"/>
                <xsd:element ref="ns2:ContributionBy" minOccurs="0"/>
                <xsd:element ref="ns2:ClientGroup" minOccurs="0"/>
                <xsd:element ref="ns2:Discipline" minOccurs="0"/>
                <xsd:element ref="ns3:File_x0020_Usage" minOccurs="0"/>
                <xsd:element ref="ns2:Rights" minOccurs="0"/>
                <xsd:element ref="ns3:LIVE_x0020_Link"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2:SharedWithUsers" minOccurs="0"/>
                <xsd:element ref="ns2:SharedWithDetails"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1:_ip_UnifiedCompliancePolicyProperties" minOccurs="0"/>
                <xsd:element ref="ns1:_ip_UnifiedCompliancePolicyUIAction" minOccurs="0"/>
                <xsd:element ref="ns3:MediaServiceObjectDetectorVersions" minOccurs="0"/>
                <xsd:element ref="ns3:MediaServiceSearchProperties" minOccurs="0"/>
                <xsd:element ref="ns3:Path" minOccurs="0"/>
                <xsd:element ref="ns3:Retention_x0020_Review"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4" nillable="true" ma:displayName="Unified Compliance Policy Properties" ma:hidden="true" ma:internalName="_ip_UnifiedCompliancePolicyProperties">
      <xsd:simpleType>
        <xsd:restriction base="dms:Note"/>
      </xsd:simpleType>
    </xsd:element>
    <xsd:element name="_ip_UnifiedCompliancePolicyUIAction" ma:index="3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899353-192f-49ec-8040-6535f759edff" elementFormDefault="qualified">
    <xsd:import namespace="http://schemas.microsoft.com/office/2006/documentManagement/types"/>
    <xsd:import namespace="http://schemas.microsoft.com/office/infopath/2007/PartnerControls"/>
    <xsd:element name="Description1" ma:index="2" nillable="true" ma:displayName="Description" ma:internalName="Description1" ma:readOnly="false">
      <xsd:simpleType>
        <xsd:restriction base="dms:Text">
          <xsd:maxLength value="255"/>
        </xsd:restriction>
      </xsd:simpleType>
    </xsd:element>
    <xsd:element name="Topic" ma:index="3" nillable="true" ma:displayName="Main Topic" ma:format="Dropdown" ma:indexed="true" ma:internalName="Topic">
      <xsd:simpleType>
        <xsd:restriction base="dms:Choice">
          <xsd:enumeration value="Academic integrity"/>
          <xsd:enumeration value="Academic writing"/>
          <xsd:enumeration value="All things HDR"/>
          <xsd:enumeration value="Artificial intelligence"/>
          <xsd:enumeration value="Data management"/>
          <xsd:enumeration value="Data visualisation"/>
          <xsd:enumeration value="Intro Academic Program"/>
          <xsd:enumeration value="Not specified"/>
          <xsd:enumeration value="Open scholarship"/>
          <xsd:enumeration value="Orientation"/>
          <xsd:enumeration value="Portfolio"/>
          <xsd:enumeration value="Presentation skills"/>
          <xsd:enumeration value="Referencing"/>
          <xsd:enumeration value="Research impact"/>
          <xsd:enumeration value="Researching"/>
          <xsd:enumeration value="Scholarly publishing"/>
          <xsd:enumeration value="Software"/>
          <xsd:enumeration value="Study skills"/>
          <xsd:enumeration value="Working with data"/>
        </xsd:restriction>
      </xsd:simpleType>
    </xsd:element>
    <xsd:element name="ContentType1" ma:index="4" nillable="true" ma:displayName="ContentType" ma:format="Dropdown" ma:indexed="true" ma:internalName="ContentType1" ma:readOnly="false">
      <xsd:simpleType>
        <xsd:restriction base="dms:Choice">
          <xsd:enumeration value="Activity"/>
          <xsd:enumeration value="Audio"/>
          <xsd:enumeration value="Case study"/>
          <xsd:enumeration value="Code"/>
          <xsd:enumeration value="Game"/>
          <xsd:enumeration value="Handout"/>
          <xsd:enumeration value="Image"/>
          <xsd:enumeration value="Infographic"/>
          <xsd:enumeration value="Interactive object"/>
          <xsd:enumeration value="Lesson plan"/>
          <xsd:enumeration value="Not specified"/>
          <xsd:enumeration value="Presentation"/>
          <xsd:enumeration value="Quiz"/>
          <xsd:enumeration value="Soundtrack"/>
          <xsd:enumeration value="Template"/>
          <xsd:enumeration value="Transcript"/>
          <xsd:enumeration value="Voice over"/>
          <xsd:enumeration value="Video"/>
        </xsd:restriction>
      </xsd:simpleType>
    </xsd:element>
    <xsd:element name="ContributionBy" ma:index="5" nillable="true" ma:displayName="ContributionBy" ma:indexed="true" ma:list="UserInfo" ma:SharePointGroup="0" ma:internalName="ContributionBy"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lientGroup" ma:index="6" nillable="true" ma:displayName="ClientGroup" ma:indexed="true" ma:internalName="ClientGroup">
      <xsd:simpleType>
        <xsd:restriction base="dms:Text">
          <xsd:maxLength value="255"/>
        </xsd:restriction>
      </xsd:simpleType>
    </xsd:element>
    <xsd:element name="Discipline" ma:index="7" nillable="true" ma:displayName="Discipline" ma:format="Dropdown" ma:indexed="true" ma:internalName="Discipline">
      <xsd:simpleType>
        <xsd:restriction base="dms:Choice">
          <xsd:enumeration value="General"/>
          <xsd:enumeration value="Research"/>
          <xsd:enumeration value="AEL"/>
          <xsd:enumeration value="Business"/>
          <xsd:enumeration value="Health"/>
          <xsd:enumeration value="Sciences"/>
          <xsd:enumeration value="HEPPP"/>
        </xsd:restriction>
      </xsd:simpleType>
    </xsd:element>
    <xsd:element name="Rights" ma:index="9" nillable="true" ma:displayName="Rights" ma:internalName="Rights" ma:readOnly="false">
      <xsd:simpleType>
        <xsd:restriction base="dms:Text">
          <xsd:maxLength value="255"/>
        </xsd:restriction>
      </xsd:simpleType>
    </xsd:element>
    <xsd:element name="SharedWithUsers" ma:index="20"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hidden="true" ma:internalName="SharedWithDetails" ma:readOnly="true">
      <xsd:simpleType>
        <xsd:restriction base="dms:Note"/>
      </xsd:simpleType>
    </xsd:element>
    <xsd:element name="TaxCatchAll" ma:index="32" nillable="true" ma:displayName="Taxonomy Catch All Column" ma:hidden="true" ma:list="{ae293571-80ef-4061-868b-c9461d9081ab}" ma:internalName="TaxCatchAll" ma:readOnly="false" ma:showField="CatchAllData" ma:web="0e899353-192f-49ec-8040-6535f759edf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43bb85-e379-46c3-af48-7b67d8fa8318" elementFormDefault="qualified">
    <xsd:import namespace="http://schemas.microsoft.com/office/2006/documentManagement/types"/>
    <xsd:import namespace="http://schemas.microsoft.com/office/infopath/2007/PartnerControls"/>
    <xsd:element name="File_x0020_Usage" ma:index="8" nillable="true" ma:displayName="File Usage" ma:internalName="File_x0020_Usage" ma:readOnly="false">
      <xsd:complexType>
        <xsd:complexContent>
          <xsd:extension base="dms:MultiChoice">
            <xsd:sequence>
              <xsd:element name="Value" maxOccurs="unbounded" minOccurs="0" nillable="true">
                <xsd:simpleType>
                  <xsd:restriction base="dms:Choice">
                    <xsd:enumeration value="Supporting"/>
                    <xsd:enumeration value="Legacy"/>
                    <xsd:enumeration value="Superseded"/>
                  </xsd:restriction>
                </xsd:simpleType>
              </xsd:element>
            </xsd:sequence>
          </xsd:extension>
        </xsd:complexContent>
      </xsd:complexType>
    </xsd:element>
    <xsd:element name="LIVE_x0020_Link" ma:index="10" nillable="true" ma:displayName="LIVE Link" ma:format="Hyperlink" ma:internalName="LIVE_x0020_Link"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Tags" ma:index="15" nillable="true" ma:displayName="Tags" ma:hidden="true"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hidden="true" ma:internalName="MediaServiceOCR" ma:readOnly="true">
      <xsd:simpleType>
        <xsd:restriction base="dms:Note"/>
      </xsd:simpleType>
    </xsd:element>
    <xsd:element name="MediaServiceDateTaken" ma:index="19" nillable="true" ma:displayName="MediaServiceDateTaken" ma:hidden="true" ma:internalName="MediaServiceDateTaken"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hidden="true" ma:internalName="MediaServiceKeyPoints" ma:readOnly="true">
      <xsd:simpleType>
        <xsd:restriction base="dms:Note"/>
      </xsd:simpleType>
    </xsd:element>
    <xsd:element name="MediaServiceLocation" ma:index="25" nillable="true" ma:displayName="Location" ma:hidden="true" ma:internalName="MediaServiceLocation" ma:readOnly="true">
      <xsd:simpleType>
        <xsd:restriction base="dms:Text"/>
      </xsd:simpleType>
    </xsd:element>
    <xsd:element name="MediaLengthInSeconds" ma:index="29" nillable="true" ma:displayName="Length (seconds)" ma:hidden="true" ma:internalName="MediaLengthInSeconds" ma:readOnly="true">
      <xsd:simpleType>
        <xsd:restriction base="dms:Unknown"/>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d7fcee89-5a73-4a7b-ac3d-7e05f09405f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Path" ma:index="38" nillable="true" ma:displayName="Path" ma:internalName="Path">
      <xsd:simpleType>
        <xsd:restriction base="dms:Text">
          <xsd:maxLength value="255"/>
        </xsd:restriction>
      </xsd:simpleType>
    </xsd:element>
    <xsd:element name="Retention_x0020_Review" ma:index="39" nillable="true" ma:displayName="Retention Review" ma:description="During a file retention review, this column is to be used to indicate if a file that is 3+ years old is to be kept and has been reviewed for the given review year. Keep adding values for each new yearly review and avoid moving old values unless you know there are none of these older files still in use." ma:format="Dropdown" ma:indexed="true" ma:internalName="Retention_x0020_Review">
      <xsd:simpleType>
        <xsd:restriction base="dms:Choice">
          <xsd:enumeration value="Keep 2024 - 1 year review"/>
          <xsd:enumeration value="Keep 2024 - 2 year review"/>
          <xsd:enumeration value="Keep 2024 - Core AES"/>
          <xsd:enumeration value="Undecided 2024"/>
        </xsd:restriction>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C5ECED-F986-443D-A8EE-6C28B7E42B10}"/>
</file>

<file path=customXml/itemProps2.xml><?xml version="1.0" encoding="utf-8"?>
<ds:datastoreItem xmlns:ds="http://schemas.openxmlformats.org/officeDocument/2006/customXml" ds:itemID="{907708F1-C2F6-4D39-8250-93D1815E4826}"/>
</file>

<file path=customXml/itemProps3.xml><?xml version="1.0" encoding="utf-8"?>
<ds:datastoreItem xmlns:ds="http://schemas.openxmlformats.org/officeDocument/2006/customXml" ds:itemID="{95F3047A-1D58-4DBA-88EA-4DCF7758D21D}"/>
</file>

<file path=customXml/itemProps4.xml><?xml version="1.0" encoding="utf-8"?>
<ds:datastoreItem xmlns:ds="http://schemas.openxmlformats.org/officeDocument/2006/customXml" ds:itemID="{69B6C947-4E5A-4328-8EAB-A0F8B06F24C2}"/>
</file>

<file path=docMetadata/LabelInfo.xml><?xml version="1.0" encoding="utf-8"?>
<clbl:labelList xmlns:clbl="http://schemas.microsoft.com/office/2020/mipLabelMetadata">
  <clbl:label id="{adaa4be3-f650-4692-881a-64ae220cbceb}"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Weymouth</dc:creator>
  <cp:keywords/>
  <dc:description/>
  <cp:lastModifiedBy>Sharron Stapleton</cp:lastModifiedBy>
  <cp:revision/>
  <dcterms:created xsi:type="dcterms:W3CDTF">2020-01-23T05:36:42Z</dcterms:created>
  <dcterms:modified xsi:type="dcterms:W3CDTF">2026-06-15T03:13:31Z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0x0101009BCF26CD0D80EF448B3138B1C9A75290</vt:lpwstr>
  </property>
  <property fmtid="{D5CDD505-2E9C-101B-9397-08002B2CF9AE}" pid="3" name="MediaServiceImageTags">
    <vt:lpwstr/>
  </property>
</Properties>
</file>